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2D\"/>
    </mc:Choice>
  </mc:AlternateContent>
  <xr:revisionPtr revIDLastSave="0" documentId="13_ncr:1_{3F95BD6A-96A2-41CD-BEB8-9C95B6E2E6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37" i="1"/>
  <c r="B57" i="1"/>
  <c r="B56" i="1"/>
  <c r="B55" i="1"/>
  <c r="B54" i="1"/>
  <c r="B53" i="1"/>
  <c r="B52" i="1"/>
  <c r="B51" i="1"/>
  <c r="J57" i="1"/>
  <c r="K57" i="1" s="1"/>
  <c r="H57" i="1"/>
  <c r="I57" i="1" s="1"/>
  <c r="G57" i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H52" i="1"/>
  <c r="I52" i="1" s="1"/>
  <c r="F52" i="1"/>
  <c r="G52" i="1" s="1"/>
  <c r="D52" i="1"/>
  <c r="E52" i="1" s="1"/>
  <c r="J51" i="1"/>
  <c r="K51" i="1" s="1"/>
  <c r="K58" i="1" s="1"/>
  <c r="H51" i="1"/>
  <c r="I51" i="1" s="1"/>
  <c r="F51" i="1"/>
  <c r="G51" i="1" s="1"/>
  <c r="D51" i="1"/>
  <c r="E51" i="1" s="1"/>
  <c r="E58" i="1" l="1"/>
  <c r="I58" i="1"/>
  <c r="G58" i="1"/>
  <c r="C58" i="1" l="1"/>
  <c r="C59" i="1" s="1"/>
  <c r="D5" i="1" s="1"/>
  <c r="B24" i="1" l="1"/>
  <c r="B11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J44" i="1"/>
  <c r="K44" i="1" s="1"/>
  <c r="H44" i="1"/>
  <c r="I44" i="1" s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G32" i="1"/>
  <c r="E32" i="1"/>
  <c r="J31" i="1"/>
  <c r="K31" i="1" s="1"/>
  <c r="H31" i="1"/>
  <c r="I31" i="1" s="1"/>
  <c r="G31" i="1"/>
  <c r="E31" i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G46" i="1" l="1"/>
  <c r="E33" i="1"/>
  <c r="G33" i="1"/>
  <c r="K46" i="1"/>
  <c r="I46" i="1"/>
  <c r="E46" i="1"/>
  <c r="I33" i="1"/>
  <c r="K33" i="1"/>
  <c r="C33" i="1" l="1"/>
  <c r="C34" i="1" s="1"/>
  <c r="C5" i="1" s="1"/>
  <c r="C46" i="1"/>
  <c r="C47" i="1" s="1"/>
  <c r="D4" i="1" s="1"/>
  <c r="B14" i="1" l="1"/>
  <c r="B15" i="1"/>
  <c r="B16" i="1"/>
  <c r="B17" i="1"/>
  <c r="B18" i="1"/>
  <c r="B19" i="1"/>
  <c r="D13" i="1" l="1"/>
  <c r="E13" i="1" s="1"/>
  <c r="D14" i="1"/>
  <c r="E14" i="1" s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<sst xmlns="http://schemas.openxmlformats.org/spreadsheetml/2006/main" count="149" uniqueCount="65">
  <si>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</si>
  <si>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</si>
  <si>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</si>
  <si>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</si>
  <si>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</si>
  <si>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</si>
  <si>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</si>
  <si>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</si>
  <si>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</si>
  <si>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</si>
  <si>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</si>
  <si>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</si>
  <si>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</si>
  <si>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</si>
  <si>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</si>
  <si>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</si>
  <si>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</si>
  <si>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</si>
  <si>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</si>
  <si>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</si>
  <si>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</si>
  <si>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</si>
  <si>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</si>
  <si>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</si>
  <si>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</si>
  <si>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</si>
  <si>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</si>
  <si>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</si>
  <si>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</si>
  <si>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</si>
  <si>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</si>
  <si>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</si>
  <si>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</si>
  <si>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</si>
  <si>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</si>
  <si>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</si>
  <si>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</si>
  <si>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</si>
  <si>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</si>
  <si>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</si>
  <si>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</si>
  <si>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</si>
  <si>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</si>
  <si>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</si>
  <si>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</si>
  <si>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</si>
  <si>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</si>
  <si>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</si>
  <si>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</si>
  <si>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</si>
  <si>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</si>
  <si>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</si>
  <si>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</si>
  <si>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</si>
  <si>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</si>
  <si>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</si>
  <si>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</si>
  <si>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</si>
  <si>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</si>
  <si>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</si>
  <si>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</si>
  <si>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</si>
  <si>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</si>
  <si>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ALLISON ARACENA GONZALEZ</t>
  </si>
  <si>
    <t>NATALIA MODESTA JORQUERA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</si>
</sst>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52"/>
  <sheetViews>
    <sheetView tabSelected="1" zoomScale="85" zoomScaleNormal="85" workbookViewId="0">
      <selection activeCell="F7" sqref="F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5.2</v>
      </c>
      <c r="D4" s="37">
        <f>C47</f>
        <v>5.2</v>
      </c>
      <c r="E4" s="36">
        <f>C4*C$2+D4*D$2</f>
        <v>5.1999999999999993</v>
      </c>
    </row>
    <row r="5" spans="1:11" ht="14.4" x14ac:dyDescent="0.3">
      <c r="A5" s="3">
        <v>2</v>
      </c>
      <c r="B5" s="16" t="s">
        <v>64</v>
      </c>
      <c r="C5" s="31">
        <f>C34</f>
        <v>5.2</v>
      </c>
      <c r="D5" s="37">
        <f>C59</f>
        <v>5.2</v>
      </c>
      <c r="E5" s="36">
        <f t="shared" ref="E5" si="0">C5*C$2+D5*D$2</f>
        <v>5.1999999999999993</v>
      </c>
    </row>
    <row r="6" spans="1:11" ht="14.4" x14ac:dyDescent="0.3">
      <c r="A6" s="3"/>
      <c r="B6" s="16"/>
      <c r="C6" s="31"/>
      <c r="D6" s="37"/>
      <c r="E6" s="36"/>
    </row>
    <row r="7" spans="1:11" ht="14.4" x14ac:dyDescent="0.3">
      <c r="A7" s="3"/>
      <c r="B7" s="16"/>
      <c r="C7" s="31"/>
      <c r="D7" s="37"/>
      <c r="E7" s="36"/>
    </row>
    <row r="11" spans="1:11" ht="18" outlineLevel="1" x14ac:dyDescent="0.3">
      <c r="A11" s="50" t="s">
        <v>4</v>
      </c>
      <c r="B11" s="11" t="str">
        <f>B4</f>
        <v>ALLISON ARACENA GONZALEZ</v>
      </c>
      <c r="C11" s="42" t="s">
        <v>5</v>
      </c>
      <c r="D11" s="43" t="s">
        <v>6</v>
      </c>
      <c r="E11" s="44"/>
      <c r="F11" s="44"/>
      <c r="G11" s="44"/>
      <c r="H11" s="44"/>
      <c r="I11" s="44"/>
      <c r="J11" s="44"/>
      <c r="K11" s="45"/>
    </row>
    <row r="12" spans="1:11" ht="14.4" outlineLevel="1" x14ac:dyDescent="0.3">
      <c r="A12" s="39"/>
      <c r="B12" s="15" t="s">
        <v>7</v>
      </c>
      <c r="C12" s="41"/>
      <c r="D12" s="43" t="s">
        <v>8</v>
      </c>
      <c r="E12" s="45"/>
      <c r="F12" s="43" t="s">
        <v>9</v>
      </c>
      <c r="G12" s="45"/>
      <c r="H12" s="46" t="s">
        <v>10</v>
      </c>
      <c r="I12" s="45"/>
      <c r="J12" s="43" t="s">
        <v>11</v>
      </c>
      <c r="K12" s="45"/>
    </row>
    <row r="13" spans="1:11" ht="24" outlineLevel="1" x14ac:dyDescent="0.3">
      <c r="A13" s="40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4" si="1">IF($C13=CL,"X","")</f>
        <v>X</v>
      </c>
      <c r="E13" s="12">
        <f>IF(D13="X",100*0.15,"")</f>
        <v>15</v>
      </c>
      <c r="F13" s="12" t="str">
        <f t="shared" ref="F13:F14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0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0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62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0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62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0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62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0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/>
      <c r="E18" s="12" t="str">
        <f>IF(D18="X",100*0.2,"")</f>
        <v/>
      </c>
      <c r="F18" s="12" t="s">
        <v>62</v>
      </c>
      <c r="G18" s="12">
        <f>IF(F18="X",60*0.2,"")</f>
        <v>12</v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0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62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39"/>
      <c r="B20" s="18" t="s">
        <v>12</v>
      </c>
      <c r="C20" s="22">
        <f>E20+G20+I20+K20</f>
        <v>76</v>
      </c>
      <c r="D20" s="13"/>
      <c r="E20" s="13">
        <f>SUM(E13:E19)</f>
        <v>40</v>
      </c>
      <c r="F20" s="13"/>
      <c r="G20" s="13">
        <f>SUM(G13:G19)</f>
        <v>36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1"/>
      <c r="B21" s="21" t="s">
        <v>13</v>
      </c>
      <c r="C21" s="14">
        <f>VLOOKUP(C20,ESCALA_IEP!A2:B202,2,FALSE)</f>
        <v>5.2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50" t="s">
        <v>4</v>
      </c>
      <c r="B24" s="11" t="str">
        <f>B5</f>
        <v>NATALIA MODESTA JORQUERA ALVAREZ</v>
      </c>
      <c r="C24" s="42" t="s">
        <v>5</v>
      </c>
      <c r="D24" s="43" t="s">
        <v>6</v>
      </c>
      <c r="E24" s="44"/>
      <c r="F24" s="44"/>
      <c r="G24" s="44"/>
      <c r="H24" s="44"/>
      <c r="I24" s="44"/>
      <c r="J24" s="44"/>
      <c r="K24" s="45"/>
    </row>
    <row r="25" spans="1:11" ht="24" customHeight="1" x14ac:dyDescent="0.3">
      <c r="A25" s="39"/>
      <c r="B25" s="15" t="s">
        <v>7</v>
      </c>
      <c r="C25" s="41"/>
      <c r="D25" s="43" t="s">
        <v>8</v>
      </c>
      <c r="E25" s="45"/>
      <c r="F25" s="43" t="s">
        <v>9</v>
      </c>
      <c r="G25" s="45"/>
      <c r="H25" s="46" t="s">
        <v>10</v>
      </c>
      <c r="I25" s="45"/>
      <c r="J25" s="43" t="s">
        <v>11</v>
      </c>
      <c r="K25" s="45"/>
    </row>
    <row r="26" spans="1:11" ht="24" customHeight="1" x14ac:dyDescent="0.3">
      <c r="A26" s="40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27" si="7">IF($C26=CL,"X","")</f>
        <v>X</v>
      </c>
      <c r="E26" s="12">
        <f>IF(D26="X",100*0.15,"")</f>
        <v>15</v>
      </c>
      <c r="F26" s="12" t="str">
        <f t="shared" ref="F26:F27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0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0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62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0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62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0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62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0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 t="s">
        <v>62</v>
      </c>
      <c r="G31" s="12">
        <f>IF(F31="X",60*0.2,"")</f>
        <v>12</v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0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62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39"/>
      <c r="B33" s="18" t="s">
        <v>12</v>
      </c>
      <c r="C33" s="22">
        <f>E33+G33+I33+K33</f>
        <v>76</v>
      </c>
      <c r="D33" s="13"/>
      <c r="E33" s="13">
        <f>SUM(E26:E32)</f>
        <v>40</v>
      </c>
      <c r="F33" s="13"/>
      <c r="G33" s="13">
        <f>SUM(G26:G32)</f>
        <v>36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1"/>
      <c r="B34" s="21" t="s">
        <v>13</v>
      </c>
      <c r="C34" s="14">
        <f>VLOOKUP(C33,ESCALA_IEP!A15:B215,2,FALSE)</f>
        <v>5.2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7" t="s">
        <v>14</v>
      </c>
      <c r="B37" s="11" t="str">
        <f>B4</f>
        <v>ALLISON ARACENA GONZALEZ</v>
      </c>
      <c r="C37" s="42" t="s">
        <v>5</v>
      </c>
      <c r="D37" s="43" t="s">
        <v>6</v>
      </c>
      <c r="E37" s="44"/>
      <c r="F37" s="44"/>
      <c r="G37" s="44"/>
      <c r="H37" s="44"/>
      <c r="I37" s="44"/>
      <c r="J37" s="44"/>
      <c r="K37" s="45"/>
    </row>
    <row r="38" spans="1:11" ht="24" customHeight="1" x14ac:dyDescent="0.3">
      <c r="A38" s="48"/>
      <c r="B38" s="15" t="s">
        <v>7</v>
      </c>
      <c r="C38" s="41"/>
      <c r="D38" s="43" t="s">
        <v>8</v>
      </c>
      <c r="E38" s="45"/>
      <c r="F38" s="43" t="s">
        <v>9</v>
      </c>
      <c r="G38" s="45"/>
      <c r="H38" s="46" t="s">
        <v>10</v>
      </c>
      <c r="I38" s="45"/>
      <c r="J38" s="43" t="s">
        <v>11</v>
      </c>
      <c r="K38" s="45"/>
    </row>
    <row r="39" spans="1:11" ht="24" customHeight="1" x14ac:dyDescent="0.3">
      <c r="A39" s="48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0" si="12">IF($C39=CL,"X","")</f>
        <v>X</v>
      </c>
      <c r="E39" s="12">
        <f>IF(D39="X",100*0.15,"")</f>
        <v>15</v>
      </c>
      <c r="F39" s="12" t="str">
        <f t="shared" ref="F39:F40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8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8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62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8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">
        <v>62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8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62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8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">
        <v>62</v>
      </c>
      <c r="G44" s="12">
        <f>IF(F44="X",60*0.2,"")</f>
        <v>12</v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8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">
        <v>62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8"/>
      <c r="B46" s="18" t="s">
        <v>12</v>
      </c>
      <c r="C46" s="22">
        <f>E46+G46+I46+K46</f>
        <v>76</v>
      </c>
      <c r="D46" s="13"/>
      <c r="E46" s="13">
        <f>SUM(E39:E45)</f>
        <v>40</v>
      </c>
      <c r="F46" s="13"/>
      <c r="G46" s="13">
        <f>SUM(G39:G45)</f>
        <v>36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9"/>
      <c r="B47" s="21" t="s">
        <v>13</v>
      </c>
      <c r="C47" s="14">
        <f>VLOOKUP(C46,ESCALA_IEP!A28:B228,2,FALSE)</f>
        <v>5.2</v>
      </c>
    </row>
    <row r="48" spans="1:11" ht="15.75" customHeight="1" x14ac:dyDescent="0.3"/>
    <row r="49" spans="1:11" ht="15.75" customHeight="1" x14ac:dyDescent="0.3">
      <c r="A49" s="47" t="s">
        <v>15</v>
      </c>
      <c r="B49" s="11" t="str">
        <f>B5</f>
        <v>NATALIA MODESTA JORQUERA ALVAREZ</v>
      </c>
      <c r="C49" s="42" t="s">
        <v>5</v>
      </c>
      <c r="D49" s="43" t="s">
        <v>6</v>
      </c>
      <c r="E49" s="44"/>
      <c r="F49" s="44"/>
      <c r="G49" s="44"/>
      <c r="H49" s="44"/>
      <c r="I49" s="44"/>
      <c r="J49" s="44"/>
      <c r="K49" s="45"/>
    </row>
    <row r="50" spans="1:11" ht="15.75" customHeight="1" x14ac:dyDescent="0.3">
      <c r="A50" s="48"/>
      <c r="B50" s="15" t="s">
        <v>7</v>
      </c>
      <c r="C50" s="41"/>
      <c r="D50" s="43" t="s">
        <v>8</v>
      </c>
      <c r="E50" s="45"/>
      <c r="F50" s="43" t="s">
        <v>9</v>
      </c>
      <c r="G50" s="45"/>
      <c r="H50" s="46" t="s">
        <v>10</v>
      </c>
      <c r="I50" s="45"/>
      <c r="J50" s="43" t="s">
        <v>11</v>
      </c>
      <c r="K50" s="45"/>
    </row>
    <row r="51" spans="1:11" ht="29.4" customHeight="1" x14ac:dyDescent="0.3">
      <c r="A51" s="48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2" si="17">IF($C51=CL,"X","")</f>
        <v>X</v>
      </c>
      <c r="E51" s="12">
        <f>IF(D51="X",100*0.15,"")</f>
        <v>15</v>
      </c>
      <c r="F51" s="12" t="str">
        <f t="shared" ref="F51:F52" si="18">IF($C51=L,"X","")</f>
        <v/>
      </c>
      <c r="G51" s="12" t="str">
        <f>IF(F51="X",60*0.15,"")</f>
        <v/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36.6" customHeight="1" x14ac:dyDescent="0.3">
      <c r="A52" s="48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7.6" customHeight="1" x14ac:dyDescent="0.3">
      <c r="A53" s="48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/>
      <c r="E53" s="12" t="str">
        <f>IF(D53="X",100*0.2,"")</f>
        <v/>
      </c>
      <c r="F53" s="12" t="s">
        <v>62</v>
      </c>
      <c r="G53" s="12">
        <f>IF(F53="X",60*0.2,"")</f>
        <v>12</v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35.4" customHeight="1" x14ac:dyDescent="0.3">
      <c r="A54" s="48"/>
      <c r="B54" s="19" t="str">
        <f>RUBRICA!A7</f>
        <v>4. Expone el Proyecto APT, considerando el formato y el tiempo establecido para la presentación.</v>
      </c>
      <c r="C54" s="17" t="s">
        <v>8</v>
      </c>
      <c r="D54" s="12"/>
      <c r="E54" s="12" t="str">
        <f>IF(D54="X",100*0.05,"")</f>
        <v/>
      </c>
      <c r="F54" s="12" t="s">
        <v>62</v>
      </c>
      <c r="G54" s="12">
        <f>IF(F54="X",60*0.05,"")</f>
        <v>3</v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30.6" customHeight="1" x14ac:dyDescent="0.3">
      <c r="A55" s="48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/>
      <c r="E55" s="12" t="str">
        <f>IF(D55="X",100*0.05,"")</f>
        <v/>
      </c>
      <c r="F55" s="12" t="s">
        <v>62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9.4" customHeight="1" x14ac:dyDescent="0.3">
      <c r="A56" s="48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/>
      <c r="E56" s="12" t="str">
        <f>IF(D56="X",100*0.2,"")</f>
        <v/>
      </c>
      <c r="F56" s="12" t="s">
        <v>62</v>
      </c>
      <c r="G56" s="12">
        <f>IF(F56="X",60*0.2,"")</f>
        <v>12</v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30" customHeight="1" x14ac:dyDescent="0.3">
      <c r="A57" s="48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/>
      <c r="E57" s="12" t="str">
        <f>IF(D57="X",100*0.1,"")</f>
        <v/>
      </c>
      <c r="F57" s="12" t="s">
        <v>62</v>
      </c>
      <c r="G57" s="12">
        <f>IF(F57="X",60*0.1,"")</f>
        <v>6</v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15.75" customHeight="1" x14ac:dyDescent="0.35">
      <c r="A58" s="48"/>
      <c r="B58" s="18" t="s">
        <v>12</v>
      </c>
      <c r="C58" s="22">
        <f>E58+G58+I58+K58</f>
        <v>76</v>
      </c>
      <c r="D58" s="13"/>
      <c r="E58" s="13">
        <f>SUM(E51:E57)</f>
        <v>40</v>
      </c>
      <c r="F58" s="13"/>
      <c r="G58" s="13">
        <f>SUM(G51:G57)</f>
        <v>36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49"/>
      <c r="B59" s="21" t="s">
        <v>13</v>
      </c>
      <c r="C59" s="14">
        <f>VLOOKUP(C58,ESCALA_IEP!A40:B240,2,FALSE)</f>
        <v>5.2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</sheetData>
  <sheetProtection algorithmName="SHA-512" hashValue="U4JbaEm4dZypwXUkZVYVG7RO5gcU5qq4cv+253YPMhzJObUDhqcfjBFyPeOh/O4+XNskbCsll1IG6pvGvLttEA==" saltValue="j1CtV7N76V/8Kp2dLvv5aA==" spinCount="100000" sheet="1" objects="1" scenarios="1"/>
  <mergeCells count="28">
    <mergeCell ref="A49:A59"/>
    <mergeCell ref="C49:C50"/>
    <mergeCell ref="D49:K49"/>
    <mergeCell ref="D50:E50"/>
    <mergeCell ref="F50:G50"/>
    <mergeCell ref="H50:I50"/>
    <mergeCell ref="J50:K50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D24:K24"/>
    <mergeCell ref="D25:E25"/>
    <mergeCell ref="F25:G25"/>
    <mergeCell ref="H25:I25"/>
    <mergeCell ref="J25:K25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1" t="s">
        <v>16</v>
      </c>
      <c r="B1" s="53" t="s">
        <v>17</v>
      </c>
      <c r="C1" s="54"/>
      <c r="D1" s="54"/>
      <c r="E1" s="55"/>
      <c r="F1" s="51" t="s">
        <v>18</v>
      </c>
    </row>
    <row r="2" spans="1:6" x14ac:dyDescent="0.3">
      <c r="A2" s="52"/>
      <c r="B2" s="56" t="s">
        <v>19</v>
      </c>
      <c r="C2" s="56" t="s">
        <v>20</v>
      </c>
      <c r="D2" s="25" t="s">
        <v>21</v>
      </c>
      <c r="E2" s="26" t="s">
        <v>11</v>
      </c>
      <c r="F2" s="52"/>
    </row>
    <row r="3" spans="1:6" x14ac:dyDescent="0.3">
      <c r="A3" s="52"/>
      <c r="B3" s="57"/>
      <c r="C3" s="57"/>
      <c r="D3" s="27">
        <v>0.3</v>
      </c>
      <c r="E3" s="27">
        <v>0</v>
      </c>
      <c r="F3" s="52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8" t="s">
        <v>59</v>
      </c>
      <c r="B1" s="4" t="s">
        <v>12</v>
      </c>
      <c r="C1" s="5"/>
      <c r="D1" s="5"/>
      <c r="E1" s="6"/>
    </row>
    <row r="2" spans="1:5" ht="43.8" thickBot="1" x14ac:dyDescent="0.35">
      <c r="A2" s="59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2025-12-11T03:07:58Z</dcterms:modified>
  <cp:category/>
  <cp:contentStatus/>
</cp:coreProperties>
</file>