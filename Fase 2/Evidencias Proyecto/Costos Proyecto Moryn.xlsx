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p3\Entregables Ultima fase\"/>
    </mc:Choice>
  </mc:AlternateContent>
  <bookViews>
    <workbookView xWindow="0" yWindow="0" windowWidth="9165" windowHeight="4785"/>
  </bookViews>
  <sheets>
    <sheet name="Costos operativos de Moryn" sheetId="1" r:id="rId1"/>
  </sheets>
  <calcPr calcId="152511"/>
  <extLst>
    <ext uri="GoogleSheetsCustomDataVersion2">
      <go:sheetsCustomData xmlns:go="http://customooxmlschemas.google.com/" r:id="rId8" roundtripDataChecksum="ZjkW4UIfkB29g7CPARP4bJ9eAXCJsl3BpXEqmUOziKs="/>
    </ext>
  </extLst>
</workbook>
</file>

<file path=xl/calcChain.xml><?xml version="1.0" encoding="utf-8"?>
<calcChain xmlns="http://schemas.openxmlformats.org/spreadsheetml/2006/main">
  <c r="C34" i="1" l="1"/>
  <c r="C25" i="1"/>
  <c r="G13" i="1"/>
  <c r="G14" i="1"/>
  <c r="G15" i="1"/>
  <c r="G12" i="1"/>
  <c r="E6" i="1"/>
  <c r="E7" i="1"/>
  <c r="F7" i="1"/>
  <c r="C8" i="1"/>
  <c r="D8" i="1"/>
  <c r="E16" i="1"/>
  <c r="C31" i="1" s="1"/>
  <c r="D16" i="1"/>
  <c r="C30" i="1" s="1"/>
  <c r="F16" i="1"/>
  <c r="C32" i="1" s="1"/>
  <c r="C16" i="1"/>
  <c r="C29" i="1" s="1"/>
  <c r="G16" i="1" l="1"/>
  <c r="F6" i="1"/>
  <c r="F8" i="1" s="1"/>
  <c r="C35" i="1" s="1"/>
  <c r="E8" i="1"/>
  <c r="C33" i="1" l="1"/>
  <c r="C36" i="1" s="1"/>
</calcChain>
</file>

<file path=xl/sharedStrings.xml><?xml version="1.0" encoding="utf-8"?>
<sst xmlns="http://schemas.openxmlformats.org/spreadsheetml/2006/main" count="39" uniqueCount="34">
  <si>
    <t>COSTOS OPERATIVOS DE MEDSERV</t>
  </si>
  <si>
    <t>Costos de Mano de obra (costos fijos)</t>
  </si>
  <si>
    <t>Cargo</t>
  </si>
  <si>
    <t>Sueldo</t>
  </si>
  <si>
    <t>N° personas</t>
  </si>
  <si>
    <t>SUMA</t>
  </si>
  <si>
    <t>Nombre</t>
  </si>
  <si>
    <t>Total</t>
  </si>
  <si>
    <t>Wi-Fi</t>
  </si>
  <si>
    <t>Servicios básicos (Electricidad)</t>
  </si>
  <si>
    <t>Septiembre</t>
  </si>
  <si>
    <t>Octubre</t>
  </si>
  <si>
    <t>Noviembre</t>
  </si>
  <si>
    <t>Costo Mnesual</t>
  </si>
  <si>
    <t>Diciembre</t>
  </si>
  <si>
    <t>Traslado Reunion Cierre (Presencial)</t>
  </si>
  <si>
    <t>Traslado Reunion Inicial                 (Presencial en domicilio del cliente)</t>
  </si>
  <si>
    <t>Costo 4 Meses</t>
  </si>
  <si>
    <t>Total Gastos Mano de obra</t>
  </si>
  <si>
    <t>Almacenamiento en la Nube</t>
  </si>
  <si>
    <t xml:space="preserve">GASTO TOTAL </t>
  </si>
  <si>
    <t>Registro de Marca LUUM</t>
  </si>
  <si>
    <t>Diseño Catalogo LUUM</t>
  </si>
  <si>
    <t>Membresía Software de escritorio Moryn</t>
  </si>
  <si>
    <t xml:space="preserve">Hosting para Catalogo Web </t>
  </si>
  <si>
    <t>Costos de Implementacion (Inversión del Emprendedor)</t>
  </si>
  <si>
    <t>Costo TOTAL</t>
  </si>
  <si>
    <t>Costos de Implementacion</t>
  </si>
  <si>
    <t>Publicidad para posicionamiento en RRSS</t>
  </si>
  <si>
    <t>Ingeniero  a cargo del proycto y arquitectura de la Base de Datos (Natalia)</t>
  </si>
  <si>
    <t>Ingeniero a cargo del Desarrollo del software de escritorio y la documentacion (Allison)</t>
  </si>
  <si>
    <t>Total Costos Operacionales</t>
  </si>
  <si>
    <t>Costos del Proyecto MORYN</t>
  </si>
  <si>
    <t>Costos Operativos (Conciderando al equipo de trabajo)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</si>
</sst>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]#,##0"/>
  </numFmts>
  <fonts count="12">
    <font>
      <sz val="11"/>
      <color theme="1"/>
      <name val="Calibri"/>
      <scheme val="minor"/>
    </font>
    <font>
      <sz val="11"/>
      <color theme="0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8"/>
      <color theme="1"/>
      <name val="Verdana"/>
    </font>
    <font>
      <sz val="8"/>
      <color theme="1"/>
      <name val="Verdana"/>
    </font>
    <font>
      <sz val="11"/>
      <color theme="1"/>
      <name val="Calibri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8"/>
      <color theme="4" tint="-0.249977111117893"/>
      <name val="Verdana"/>
      <family val="2"/>
    </font>
    <font>
      <b/>
      <sz val="11"/>
      <color theme="4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rgb="FFFF99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D9D2E9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4" tint="-0.249977111117893"/>
        <bgColor rgb="FF00206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3" borderId="4" xfId="0" applyNumberFormat="1" applyFont="1" applyFill="1" applyBorder="1" applyAlignment="1">
      <alignment horizontal="left" vertical="center" wrapText="1"/>
    </xf>
    <xf numFmtId="164" fontId="6" fillId="3" borderId="4" xfId="0" applyNumberFormat="1" applyFont="1" applyFill="1" applyBorder="1" applyAlignment="1">
      <alignment horizontal="left" vertical="center" wrapText="1"/>
    </xf>
    <xf numFmtId="0" fontId="6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7" fillId="0" borderId="0" xfId="0" applyFont="1" applyAlignment="1"/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6" fillId="3" borderId="7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164" fontId="6" fillId="3" borderId="5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164" fontId="6" fillId="3" borderId="8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3" fillId="0" borderId="2" xfId="0" applyFont="1" applyBorder="1"/>
    <xf numFmtId="0" fontId="1" fillId="0" borderId="9" xfId="0" applyFont="1" applyBorder="1" applyAlignment="1">
      <alignment horizontal="center"/>
    </xf>
    <xf numFmtId="0" fontId="0" fillId="0" borderId="9" xfId="0" applyFont="1" applyBorder="1" applyAlignment="1"/>
    <xf numFmtId="164" fontId="6" fillId="3" borderId="11" xfId="0" applyNumberFormat="1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left" vertical="center" wrapText="1"/>
    </xf>
    <xf numFmtId="164" fontId="6" fillId="0" borderId="16" xfId="0" applyNumberFormat="1" applyFont="1" applyBorder="1" applyAlignment="1">
      <alignment horizontal="left" vertical="center" wrapText="1"/>
    </xf>
    <xf numFmtId="164" fontId="6" fillId="3" borderId="10" xfId="0" applyNumberFormat="1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left"/>
    </xf>
    <xf numFmtId="0" fontId="6" fillId="3" borderId="2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10" fillId="8" borderId="26" xfId="0" applyNumberFormat="1" applyFont="1" applyFill="1" applyBorder="1" applyAlignment="1">
      <alignment horizontal="left" vertical="center"/>
    </xf>
    <xf numFmtId="164" fontId="10" fillId="8" borderId="28" xfId="0" applyNumberFormat="1" applyFont="1" applyFill="1" applyBorder="1" applyAlignment="1">
      <alignment horizontal="left" vertical="center"/>
    </xf>
    <xf numFmtId="164" fontId="11" fillId="9" borderId="30" xfId="0" applyNumberFormat="1" applyFont="1" applyFill="1" applyBorder="1" applyAlignment="1">
      <alignment horizontal="left"/>
    </xf>
    <xf numFmtId="164" fontId="10" fillId="7" borderId="19" xfId="0" applyNumberFormat="1" applyFont="1" applyFill="1" applyBorder="1" applyAlignment="1">
      <alignment horizontal="left" vertical="center" wrapText="1"/>
    </xf>
    <xf numFmtId="164" fontId="10" fillId="8" borderId="19" xfId="0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5" fillId="10" borderId="27" xfId="0" applyFont="1" applyFill="1" applyBorder="1" applyAlignment="1">
      <alignment horizontal="left" vertical="center"/>
    </xf>
    <xf numFmtId="0" fontId="9" fillId="6" borderId="29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3" fillId="12" borderId="22" xfId="0" applyFont="1" applyFill="1" applyBorder="1"/>
    <xf numFmtId="0" fontId="8" fillId="0" borderId="31" xfId="0" applyFont="1" applyBorder="1" applyAlignment="1">
      <alignment horizontal="left" vertical="center"/>
    </xf>
    <xf numFmtId="164" fontId="6" fillId="3" borderId="23" xfId="0" applyNumberFormat="1" applyFont="1" applyFill="1" applyBorder="1" applyAlignment="1">
      <alignment horizontal="left" vertical="center"/>
    </xf>
    <xf numFmtId="0" fontId="9" fillId="6" borderId="32" xfId="0" applyFont="1" applyFill="1" applyBorder="1" applyAlignment="1">
      <alignment horizontal="left" vertical="center"/>
    </xf>
    <xf numFmtId="164" fontId="11" fillId="9" borderId="33" xfId="0" applyNumberFormat="1" applyFont="1" applyFill="1" applyBorder="1" applyAlignment="1">
      <alignment horizontal="left"/>
    </xf>
    <xf numFmtId="164" fontId="8" fillId="3" borderId="23" xfId="0" applyNumberFormat="1" applyFont="1" applyFill="1" applyBorder="1" applyAlignment="1">
      <alignment horizontal="left" vertical="center"/>
    </xf>
    <xf numFmtId="164" fontId="10" fillId="8" borderId="37" xfId="0" applyNumberFormat="1" applyFont="1" applyFill="1" applyBorder="1" applyAlignment="1">
      <alignment horizontal="left" vertical="center"/>
    </xf>
    <xf numFmtId="0" fontId="9" fillId="10" borderId="36" xfId="0" applyFont="1" applyFill="1" applyBorder="1" applyAlignment="1">
      <alignment horizontal="left" vertical="center"/>
    </xf>
    <xf numFmtId="0" fontId="9" fillId="10" borderId="25" xfId="0" applyFont="1" applyFill="1" applyBorder="1" applyAlignment="1">
      <alignment horizontal="left" vertical="center"/>
    </xf>
    <xf numFmtId="0" fontId="5" fillId="13" borderId="17" xfId="0" applyFont="1" applyFill="1" applyBorder="1" applyAlignment="1">
      <alignment horizontal="left" vertical="center" wrapText="1"/>
    </xf>
    <xf numFmtId="164" fontId="6" fillId="13" borderId="18" xfId="0" applyNumberFormat="1" applyFont="1" applyFill="1" applyBorder="1" applyAlignment="1">
      <alignment horizontal="left" vertical="center" wrapText="1"/>
    </xf>
    <xf numFmtId="3" fontId="6" fillId="13" borderId="18" xfId="0" applyNumberFormat="1" applyFont="1" applyFill="1" applyBorder="1" applyAlignment="1">
      <alignment horizontal="left" vertical="center" wrapText="1"/>
    </xf>
    <xf numFmtId="0" fontId="2" fillId="14" borderId="38" xfId="0" applyFont="1" applyFill="1" applyBorder="1" applyAlignment="1">
      <alignment horizontal="center"/>
    </xf>
    <xf numFmtId="0" fontId="2" fillId="14" borderId="39" xfId="0" applyFont="1" applyFill="1" applyBorder="1" applyAlignment="1">
      <alignment horizontal="center"/>
    </xf>
    <xf numFmtId="0" fontId="2" fillId="14" borderId="40" xfId="0" applyFont="1" applyFill="1" applyBorder="1" applyAlignment="1">
      <alignment horizontal="center"/>
    </xf>
    <xf numFmtId="0" fontId="0" fillId="0" borderId="34" xfId="0" applyFont="1" applyBorder="1" applyAlignment="1"/>
    <xf numFmtId="0" fontId="0" fillId="0" borderId="35" xfId="0" applyFont="1" applyBorder="1" applyAlignment="1"/>
    <xf numFmtId="0" fontId="9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4"/>
  <sheetViews>
    <sheetView tabSelected="1" zoomScaleNormal="100" workbookViewId="0">
      <selection activeCell="K7" sqref="K7"/>
    </sheetView>
  </sheetViews>
  <sheetFormatPr baseColWidth="10" defaultColWidth="14.42578125" defaultRowHeight="15" customHeight="1"/>
  <cols>
    <col min="1" max="1" width="4.7109375" customWidth="1"/>
    <col min="2" max="2" width="38.7109375" customWidth="1"/>
    <col min="3" max="3" width="15.140625" customWidth="1"/>
    <col min="4" max="5" width="13.85546875" customWidth="1"/>
    <col min="6" max="6" width="14.42578125" customWidth="1"/>
    <col min="7" max="7" width="14.140625" customWidth="1"/>
    <col min="8" max="8" width="16.140625" customWidth="1"/>
    <col min="9" max="9" width="15" customWidth="1"/>
    <col min="10" max="10" width="12.42578125" customWidth="1"/>
    <col min="11" max="11" width="13.85546875" customWidth="1"/>
    <col min="12" max="12" width="13" customWidth="1"/>
    <col min="13" max="18" width="10.7109375" customWidth="1"/>
  </cols>
  <sheetData>
    <row r="1" spans="1:16" ht="15.75" thickBot="1">
      <c r="B1" s="1"/>
      <c r="C1" s="1"/>
      <c r="D1" s="1"/>
      <c r="E1" s="1"/>
      <c r="F1" s="25"/>
    </row>
    <row r="2" spans="1:16" ht="15.75" thickBot="1">
      <c r="B2" s="66" t="s">
        <v>0</v>
      </c>
      <c r="C2" s="67"/>
      <c r="D2" s="67"/>
      <c r="E2" s="67"/>
      <c r="F2" s="68"/>
    </row>
    <row r="3" spans="1:16" ht="15" customHeight="1" thickBot="1">
      <c r="B3" s="69"/>
      <c r="C3" s="26"/>
      <c r="D3" s="26"/>
      <c r="E3" s="26"/>
      <c r="F3" s="70"/>
    </row>
    <row r="4" spans="1:16">
      <c r="A4" s="2"/>
      <c r="B4" s="28" t="s">
        <v>1</v>
      </c>
      <c r="C4" s="29"/>
      <c r="D4" s="29"/>
      <c r="E4" s="29"/>
      <c r="F4" s="30"/>
      <c r="K4" s="2"/>
      <c r="L4" s="2"/>
      <c r="M4" s="2"/>
      <c r="N4" s="2"/>
      <c r="O4" s="2"/>
      <c r="P4" s="2"/>
    </row>
    <row r="5" spans="1:16" ht="21.75" customHeight="1">
      <c r="A5" s="2"/>
      <c r="B5" s="31" t="s">
        <v>2</v>
      </c>
      <c r="C5" s="21" t="s">
        <v>3</v>
      </c>
      <c r="D5" s="21" t="s">
        <v>4</v>
      </c>
      <c r="E5" s="21" t="s">
        <v>13</v>
      </c>
      <c r="F5" s="32" t="s">
        <v>17</v>
      </c>
      <c r="G5" s="13"/>
      <c r="H5" s="13"/>
      <c r="I5" s="2"/>
      <c r="J5" s="2"/>
      <c r="K5" s="2"/>
      <c r="L5" s="2"/>
      <c r="M5" s="2"/>
      <c r="N5" s="2"/>
    </row>
    <row r="6" spans="1:16" ht="27.75" customHeight="1">
      <c r="A6" s="2"/>
      <c r="B6" s="49" t="s">
        <v>29</v>
      </c>
      <c r="C6" s="6">
        <v>800000</v>
      </c>
      <c r="D6" s="5">
        <v>1</v>
      </c>
      <c r="E6" s="6">
        <f>C6*D6</f>
        <v>800000</v>
      </c>
      <c r="F6" s="34">
        <f>E6*4</f>
        <v>3200000</v>
      </c>
      <c r="G6" s="13"/>
      <c r="H6" s="13"/>
      <c r="I6" s="2"/>
      <c r="J6" s="2"/>
      <c r="K6" s="2"/>
      <c r="L6" s="2"/>
      <c r="M6" s="2"/>
      <c r="N6" s="2"/>
    </row>
    <row r="7" spans="1:16" ht="25.5" customHeight="1" thickBot="1">
      <c r="A7" s="2"/>
      <c r="B7" s="49" t="s">
        <v>30</v>
      </c>
      <c r="C7" s="6">
        <v>800000</v>
      </c>
      <c r="D7" s="5">
        <v>1</v>
      </c>
      <c r="E7" s="6">
        <f>C7*D7</f>
        <v>800000</v>
      </c>
      <c r="F7" s="34">
        <f>E7*4</f>
        <v>3200000</v>
      </c>
      <c r="G7" s="13"/>
      <c r="H7" s="13"/>
      <c r="I7" s="2"/>
      <c r="J7" s="2"/>
      <c r="K7" s="2"/>
      <c r="L7" s="2"/>
      <c r="M7" s="2"/>
      <c r="N7" s="2"/>
    </row>
    <row r="8" spans="1:16" ht="15" customHeight="1" thickBot="1">
      <c r="B8" s="63" t="s">
        <v>5</v>
      </c>
      <c r="C8" s="64">
        <f>SUM(C6:C7)</f>
        <v>1600000</v>
      </c>
      <c r="D8" s="65">
        <f>SUM(D6:D7)</f>
        <v>2</v>
      </c>
      <c r="E8" s="64">
        <f>SUM(E6:E7)</f>
        <v>1600000</v>
      </c>
      <c r="F8" s="48">
        <f>SUM(F6:F7)</f>
        <v>6400000</v>
      </c>
    </row>
    <row r="9" spans="1:16" ht="15.75" thickBot="1">
      <c r="B9" s="4"/>
      <c r="C9" s="9"/>
      <c r="D9" s="10"/>
      <c r="E9" s="10"/>
      <c r="F9" s="11"/>
    </row>
    <row r="10" spans="1:16" ht="26.25" customHeight="1">
      <c r="B10" s="71" t="s">
        <v>33</v>
      </c>
      <c r="C10" s="36"/>
      <c r="D10" s="36"/>
      <c r="E10" s="36"/>
      <c r="F10" s="36"/>
      <c r="G10" s="37"/>
      <c r="H10" s="22"/>
      <c r="I10" s="12"/>
      <c r="J10" s="12"/>
      <c r="K10" s="12"/>
    </row>
    <row r="11" spans="1:16">
      <c r="B11" s="40" t="s">
        <v>6</v>
      </c>
      <c r="C11" s="41" t="s">
        <v>10</v>
      </c>
      <c r="D11" s="41" t="s">
        <v>11</v>
      </c>
      <c r="E11" s="41" t="s">
        <v>12</v>
      </c>
      <c r="F11" s="42" t="s">
        <v>14</v>
      </c>
      <c r="G11" s="43" t="s">
        <v>7</v>
      </c>
      <c r="H11" s="11"/>
      <c r="I11" s="9"/>
      <c r="J11" s="9"/>
      <c r="K11" s="9"/>
    </row>
    <row r="12" spans="1:16" ht="21.75" customHeight="1">
      <c r="A12" s="13"/>
      <c r="B12" s="33" t="s">
        <v>16</v>
      </c>
      <c r="C12" s="6">
        <v>0</v>
      </c>
      <c r="D12" s="6">
        <v>7700</v>
      </c>
      <c r="E12" s="6">
        <v>0</v>
      </c>
      <c r="F12" s="35">
        <v>0</v>
      </c>
      <c r="G12" s="38">
        <f>SUM(C12:F12)</f>
        <v>7700</v>
      </c>
      <c r="L12" s="13"/>
      <c r="M12" s="13"/>
      <c r="N12" s="13"/>
      <c r="O12" s="13"/>
      <c r="P12" s="13"/>
    </row>
    <row r="13" spans="1:16" ht="16.5" customHeight="1">
      <c r="B13" s="33" t="s">
        <v>15</v>
      </c>
      <c r="C13" s="6">
        <v>0</v>
      </c>
      <c r="D13" s="6">
        <v>0</v>
      </c>
      <c r="E13" s="6">
        <v>4040</v>
      </c>
      <c r="F13" s="35">
        <v>0</v>
      </c>
      <c r="G13" s="38">
        <f t="shared" ref="G13:G15" si="0">SUM(C13:F13)</f>
        <v>4040</v>
      </c>
      <c r="H13" s="23"/>
      <c r="I13" s="14"/>
      <c r="J13" s="14"/>
    </row>
    <row r="14" spans="1:16" ht="16.5" customHeight="1">
      <c r="B14" s="39" t="s">
        <v>9</v>
      </c>
      <c r="C14" s="15">
        <v>10000</v>
      </c>
      <c r="D14" s="15">
        <v>10000</v>
      </c>
      <c r="E14" s="15">
        <v>10000</v>
      </c>
      <c r="F14" s="27">
        <v>10000</v>
      </c>
      <c r="G14" s="38">
        <f t="shared" si="0"/>
        <v>40000</v>
      </c>
      <c r="H14" s="23"/>
      <c r="I14" s="23"/>
      <c r="J14" s="23"/>
    </row>
    <row r="15" spans="1:16" ht="16.5" customHeight="1" thickBot="1">
      <c r="B15" s="39" t="s">
        <v>8</v>
      </c>
      <c r="C15" s="15">
        <v>30000</v>
      </c>
      <c r="D15" s="15">
        <v>30000</v>
      </c>
      <c r="E15" s="15">
        <v>30000</v>
      </c>
      <c r="F15" s="27">
        <v>30000</v>
      </c>
      <c r="G15" s="38">
        <f t="shared" si="0"/>
        <v>120000</v>
      </c>
      <c r="H15" s="23"/>
      <c r="I15" s="14"/>
      <c r="J15" s="14"/>
    </row>
    <row r="16" spans="1:16" ht="15.75" thickBot="1">
      <c r="B16" s="63" t="s">
        <v>5</v>
      </c>
      <c r="C16" s="64">
        <f>SUM(C12:C15)</f>
        <v>40000</v>
      </c>
      <c r="D16" s="64">
        <f>SUM(D12:D15)</f>
        <v>47700</v>
      </c>
      <c r="E16" s="64">
        <f>SUM(E12:E15)</f>
        <v>44040</v>
      </c>
      <c r="F16" s="64">
        <f>SUM(F12:F15)</f>
        <v>40000</v>
      </c>
      <c r="G16" s="47">
        <f>SUM(G12:G15)</f>
        <v>171740</v>
      </c>
    </row>
    <row r="17" spans="2:6" ht="14.25" customHeight="1" thickBot="1">
      <c r="B17" s="7"/>
      <c r="C17" s="8"/>
      <c r="D17" s="8"/>
      <c r="E17" s="8"/>
      <c r="F17" s="8"/>
    </row>
    <row r="18" spans="2:6" ht="22.5" customHeight="1">
      <c r="B18" s="53" t="s">
        <v>25</v>
      </c>
      <c r="C18" s="54"/>
      <c r="D18" s="8"/>
      <c r="E18" s="8"/>
      <c r="F18" s="8"/>
    </row>
    <row r="19" spans="2:6" ht="15.75" customHeight="1">
      <c r="B19" s="55" t="s">
        <v>21</v>
      </c>
      <c r="C19" s="56">
        <v>15000</v>
      </c>
      <c r="D19" s="3"/>
      <c r="E19" s="18"/>
      <c r="F19" s="3"/>
    </row>
    <row r="20" spans="2:6" ht="15.75" customHeight="1">
      <c r="B20" s="55" t="s">
        <v>22</v>
      </c>
      <c r="C20" s="56">
        <v>15000</v>
      </c>
      <c r="D20" s="18"/>
      <c r="E20" s="18"/>
      <c r="F20" s="18"/>
    </row>
    <row r="21" spans="2:6" ht="15.75" customHeight="1">
      <c r="B21" s="55" t="s">
        <v>24</v>
      </c>
      <c r="C21" s="59">
        <v>12000</v>
      </c>
      <c r="D21" s="3"/>
      <c r="E21" s="18"/>
      <c r="F21" s="18"/>
    </row>
    <row r="22" spans="2:6" ht="15.75" customHeight="1">
      <c r="B22" s="55" t="s">
        <v>19</v>
      </c>
      <c r="C22" s="56">
        <v>3000</v>
      </c>
      <c r="D22" s="18"/>
      <c r="E22" s="18"/>
      <c r="F22" s="18"/>
    </row>
    <row r="23" spans="2:6" ht="15.75" customHeight="1">
      <c r="B23" s="55" t="s">
        <v>23</v>
      </c>
      <c r="C23" s="56">
        <v>22000</v>
      </c>
      <c r="D23" s="18"/>
      <c r="E23" s="18"/>
      <c r="F23" s="18"/>
    </row>
    <row r="24" spans="2:6" ht="15.75" customHeight="1">
      <c r="B24" s="55" t="s">
        <v>28</v>
      </c>
      <c r="C24" s="59">
        <v>10000</v>
      </c>
      <c r="D24" s="3"/>
      <c r="E24" s="18"/>
      <c r="F24" s="3"/>
    </row>
    <row r="25" spans="2:6" ht="15.75" customHeight="1" thickBot="1">
      <c r="B25" s="57" t="s">
        <v>20</v>
      </c>
      <c r="C25" s="58">
        <f>SUM(C19:C24)</f>
        <v>77000</v>
      </c>
    </row>
    <row r="26" spans="2:6" ht="15.75" customHeight="1"/>
    <row r="27" spans="2:6" ht="15.75" customHeight="1" thickBot="1"/>
    <row r="28" spans="2:6" ht="15.75" customHeight="1">
      <c r="B28" s="52" t="s">
        <v>32</v>
      </c>
      <c r="C28" s="24"/>
    </row>
    <row r="29" spans="2:6" ht="21" customHeight="1">
      <c r="B29" s="16" t="s">
        <v>10</v>
      </c>
      <c r="C29" s="17">
        <f>C16</f>
        <v>40000</v>
      </c>
    </row>
    <row r="30" spans="2:6" ht="15.75" customHeight="1">
      <c r="B30" s="16" t="s">
        <v>11</v>
      </c>
      <c r="C30" s="17">
        <f>D16</f>
        <v>47700</v>
      </c>
    </row>
    <row r="31" spans="2:6" ht="21" customHeight="1">
      <c r="B31" s="19" t="s">
        <v>12</v>
      </c>
      <c r="C31" s="20">
        <f>E16</f>
        <v>44040</v>
      </c>
    </row>
    <row r="32" spans="2:6" ht="15.75" customHeight="1" thickBot="1">
      <c r="B32" s="19" t="s">
        <v>14</v>
      </c>
      <c r="C32" s="20">
        <f>F16</f>
        <v>40000</v>
      </c>
    </row>
    <row r="33" spans="2:3" ht="15.75" customHeight="1" thickBot="1">
      <c r="B33" s="62" t="s">
        <v>31</v>
      </c>
      <c r="C33" s="44">
        <f>SUM(C29:C32)</f>
        <v>171740</v>
      </c>
    </row>
    <row r="34" spans="2:3" ht="15.75" customHeight="1" thickBot="1">
      <c r="B34" s="61" t="s">
        <v>27</v>
      </c>
      <c r="C34" s="60">
        <f>C25</f>
        <v>77000</v>
      </c>
    </row>
    <row r="35" spans="2:3" ht="15.75" customHeight="1" thickBot="1">
      <c r="B35" s="50" t="s">
        <v>18</v>
      </c>
      <c r="C35" s="45">
        <f>F8</f>
        <v>6400000</v>
      </c>
    </row>
    <row r="36" spans="2:3" ht="15.75" customHeight="1" thickBot="1">
      <c r="B36" s="51" t="s">
        <v>26</v>
      </c>
      <c r="C36" s="46">
        <f>SUM(C33:C35)</f>
        <v>6648740</v>
      </c>
    </row>
    <row r="37" spans="2:3" ht="15.75" customHeight="1"/>
    <row r="38" spans="2:3" ht="15.75" customHeight="1"/>
    <row r="39" spans="2:3" ht="15.75" customHeight="1"/>
    <row r="40" spans="2:3" ht="15.75" customHeight="1"/>
    <row r="41" spans="2:3" ht="15.75" customHeight="1"/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B28:C28"/>
    <mergeCell ref="B2:F2"/>
    <mergeCell ref="B4:F4"/>
    <mergeCell ref="B10:G10"/>
    <mergeCell ref="B18:C1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operativos de Moryn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Espinoza</dc:creator>
  <cp:lastModifiedBy>natalia jorquera alvarez</cp:lastModifiedBy>
  <dcterms:created xsi:type="dcterms:W3CDTF">2016-10-28T13:12:46Z</dcterms:created>
  <dcterms:modified xsi:type="dcterms:W3CDTF">2025-11-15T02:23:38Z</dcterms:modified>
</cp:coreProperties>
</file>